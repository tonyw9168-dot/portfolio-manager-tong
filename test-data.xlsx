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<sst xmlns="http://schemas.openxmlformats.org/spreadsheetml/2006/main" count="57" uniqueCount="46">
  <si>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r>
      <rPr>
        <b/>
        <sz val="11"/>
        <color theme="1"/>
        <rFont val="等线"/>
        <charset val="134"/>
      </rPr>
      <t>资产大类</t>
    </r>
  </si>
  <si>
    <r>
      <rPr>
        <b/>
        <sz val="11"/>
        <color theme="1"/>
        <rFont val="等线"/>
        <charset val="134"/>
      </rPr>
      <t>标的</t>
    </r>
  </si>
  <si>
    <r>
      <rPr>
        <b/>
        <sz val="11"/>
        <color theme="1"/>
        <rFont val="等线"/>
        <charset val="134"/>
      </rPr>
      <t>建议配置比例</t>
    </r>
  </si>
  <si>
    <t>当前占比</t>
  </si>
  <si>
    <r>
      <rPr>
        <sz val="11"/>
        <color theme="1"/>
        <rFont val="Calibri"/>
        <charset val="134"/>
      </rPr>
      <t>1119</t>
    </r>
    <r>
      <rPr>
        <sz val="11"/>
        <color theme="1"/>
        <rFont val="宋体"/>
        <charset val="134"/>
      </rPr>
      <t>人民币价值</t>
    </r>
  </si>
  <si>
    <r>
      <rPr>
        <sz val="11"/>
        <color theme="1"/>
        <rFont val="等线"/>
        <charset val="134"/>
      </rPr>
      <t>当前占比</t>
    </r>
  </si>
  <si>
    <r>
      <rPr>
        <sz val="11"/>
        <color theme="1"/>
        <rFont val="Calibri"/>
        <charset val="134"/>
      </rPr>
      <t>1122</t>
    </r>
    <r>
      <rPr>
        <sz val="11"/>
        <color theme="1"/>
        <rFont val="宋体"/>
        <charset val="134"/>
      </rPr>
      <t>人民币价值</t>
    </r>
  </si>
  <si>
    <t>期末减期初</t>
  </si>
  <si>
    <t>1127人民币价值</t>
  </si>
  <si>
    <t>1207人民币价值</t>
  </si>
  <si>
    <t>1216人民币价值</t>
  </si>
  <si>
    <t>0107</t>
  </si>
  <si>
    <t>0107人民币价值</t>
  </si>
  <si>
    <r>
      <rPr>
        <b/>
        <sz val="11"/>
        <color theme="1"/>
        <rFont val="等线"/>
        <charset val="134"/>
      </rPr>
      <t>股票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等线"/>
        <charset val="134"/>
      </rPr>
      <t>基金</t>
    </r>
  </si>
  <si>
    <r>
      <rPr>
        <sz val="11"/>
        <color theme="1"/>
        <rFont val="等线"/>
        <charset val="134"/>
      </rPr>
      <t>美股</t>
    </r>
  </si>
  <si>
    <t>谷歌</t>
  </si>
  <si>
    <r>
      <rPr>
        <sz val="11"/>
        <color rgb="FFFF0000"/>
        <rFont val="Calibri"/>
        <charset val="134"/>
      </rPr>
      <t xml:space="preserve">QQQ </t>
    </r>
    <r>
      <rPr>
        <sz val="11"/>
        <color rgb="FFFF0000"/>
        <rFont val="等线"/>
        <charset val="134"/>
      </rPr>
      <t>（</t>
    </r>
    <r>
      <rPr>
        <sz val="11"/>
        <color rgb="FFFF0000"/>
        <rFont val="Calibri"/>
        <charset val="134"/>
      </rPr>
      <t>USD</t>
    </r>
    <r>
      <rPr>
        <sz val="11"/>
        <color rgb="FFFF0000"/>
        <rFont val="等线"/>
        <charset val="134"/>
      </rPr>
      <t>）</t>
    </r>
  </si>
  <si>
    <r>
      <rPr>
        <sz val="11"/>
        <color theme="1"/>
        <rFont val="等线"/>
        <charset val="134"/>
      </rPr>
      <t>特斯拉（</t>
    </r>
    <r>
      <rPr>
        <sz val="11"/>
        <color theme="1"/>
        <rFont val="Calibri"/>
        <charset val="134"/>
      </rPr>
      <t>USD</t>
    </r>
    <r>
      <rPr>
        <sz val="11"/>
        <color theme="1"/>
        <rFont val="等线"/>
        <charset val="134"/>
      </rPr>
      <t>）</t>
    </r>
  </si>
  <si>
    <t>合计</t>
  </si>
  <si>
    <r>
      <rPr>
        <sz val="11"/>
        <color theme="1"/>
        <rFont val="Calibri"/>
        <charset val="134"/>
      </rPr>
      <t>A+H</t>
    </r>
    <r>
      <rPr>
        <sz val="11"/>
        <color theme="1"/>
        <rFont val="等线"/>
        <charset val="134"/>
      </rPr>
      <t>股</t>
    </r>
  </si>
  <si>
    <r>
      <rPr>
        <sz val="11"/>
        <color theme="1"/>
        <rFont val="等线"/>
        <charset val="134"/>
      </rPr>
      <t>贵州茅台</t>
    </r>
  </si>
  <si>
    <r>
      <rPr>
        <sz val="11"/>
        <color theme="1"/>
        <rFont val="等线"/>
        <charset val="134"/>
      </rPr>
      <t>洋河股份</t>
    </r>
  </si>
  <si>
    <r>
      <rPr>
        <sz val="11"/>
        <color theme="1"/>
        <rFont val="等线"/>
        <charset val="134"/>
      </rPr>
      <t>顺丰控股</t>
    </r>
  </si>
  <si>
    <t>景顺长城沪港深精选股票基金（定投中）</t>
  </si>
  <si>
    <r>
      <rPr>
        <sz val="11"/>
        <color theme="1"/>
        <rFont val="等线"/>
        <charset val="134"/>
      </rPr>
      <t>日股</t>
    </r>
  </si>
  <si>
    <r>
      <rPr>
        <sz val="11"/>
        <color theme="1"/>
        <rFont val="等线"/>
        <charset val="134"/>
      </rPr>
      <t>易方达日经</t>
    </r>
    <r>
      <rPr>
        <sz val="11"/>
        <color theme="1"/>
        <rFont val="Calibri"/>
        <charset val="134"/>
      </rPr>
      <t>225</t>
    </r>
    <r>
      <rPr>
        <sz val="11"/>
        <color theme="1"/>
        <rFont val="等线"/>
        <charset val="134"/>
      </rPr>
      <t>指数基金（</t>
    </r>
    <r>
      <rPr>
        <sz val="11"/>
        <color theme="1"/>
        <rFont val="Calibri"/>
        <charset val="134"/>
      </rPr>
      <t>USD</t>
    </r>
    <r>
      <rPr>
        <sz val="11"/>
        <color theme="1"/>
        <rFont val="等线"/>
        <charset val="134"/>
      </rPr>
      <t>）</t>
    </r>
  </si>
  <si>
    <r>
      <rPr>
        <sz val="11"/>
        <color rgb="FFFF0000"/>
        <rFont val="等线"/>
        <charset val="134"/>
      </rPr>
      <t>富达日本价值型基金（</t>
    </r>
    <r>
      <rPr>
        <sz val="11"/>
        <color rgb="FFFF0000"/>
        <rFont val="Calibri"/>
        <charset val="134"/>
      </rPr>
      <t>USD</t>
    </r>
    <r>
      <rPr>
        <sz val="11"/>
        <color rgb="FFFF0000"/>
        <rFont val="等线"/>
        <charset val="134"/>
      </rPr>
      <t>）</t>
    </r>
  </si>
  <si>
    <r>
      <rPr>
        <sz val="11"/>
        <rFont val="等线"/>
        <charset val="134"/>
      </rPr>
      <t>日本</t>
    </r>
    <r>
      <rPr>
        <sz val="11"/>
        <rFont val="Calibri"/>
        <charset val="134"/>
      </rPr>
      <t>ETF</t>
    </r>
  </si>
  <si>
    <r>
      <rPr>
        <sz val="11"/>
        <color theme="1"/>
        <rFont val="等线"/>
        <charset val="134"/>
      </rPr>
      <t>黄金</t>
    </r>
  </si>
  <si>
    <r>
      <rPr>
        <sz val="11"/>
        <color rgb="FFFF0000"/>
        <rFont val="等线"/>
        <charset val="134"/>
      </rPr>
      <t>黄金</t>
    </r>
    <r>
      <rPr>
        <sz val="11"/>
        <color rgb="FFFF0000"/>
        <rFont val="Calibri"/>
        <charset val="134"/>
      </rPr>
      <t xml:space="preserve">ETF </t>
    </r>
  </si>
  <si>
    <r>
      <rPr>
        <sz val="11"/>
        <color theme="1"/>
        <rFont val="宋体"/>
        <charset val="134"/>
      </rPr>
      <t>虚拟货币</t>
    </r>
  </si>
  <si>
    <t>BTC</t>
  </si>
  <si>
    <t>ETH</t>
  </si>
  <si>
    <r>
      <rPr>
        <sz val="11"/>
        <color theme="1"/>
        <rFont val="等线"/>
        <charset val="134"/>
      </rPr>
      <t>现金</t>
    </r>
  </si>
  <si>
    <t>余额宝</t>
  </si>
  <si>
    <r>
      <rPr>
        <b/>
        <sz val="14"/>
        <color theme="1"/>
        <rFont val="Calibri"/>
        <charset val="134"/>
      </rPr>
      <t>A</t>
    </r>
    <r>
      <rPr>
        <b/>
        <sz val="14"/>
        <color theme="1"/>
        <rFont val="等线"/>
        <charset val="134"/>
      </rPr>
      <t>股账户</t>
    </r>
  </si>
  <si>
    <r>
      <rPr>
        <b/>
        <sz val="14"/>
        <color theme="1"/>
        <rFont val="等线"/>
        <charset val="134"/>
      </rPr>
      <t>美股账户（</t>
    </r>
    <r>
      <rPr>
        <b/>
        <sz val="14"/>
        <color theme="1"/>
        <rFont val="Calibri"/>
        <charset val="134"/>
      </rPr>
      <t>USD</t>
    </r>
    <r>
      <rPr>
        <b/>
        <sz val="14"/>
        <color theme="1"/>
        <rFont val="等线"/>
        <charset val="134"/>
      </rPr>
      <t>）</t>
    </r>
  </si>
  <si>
    <r>
      <rPr>
        <b/>
        <sz val="14"/>
        <color theme="1"/>
        <rFont val="等线"/>
        <charset val="134"/>
      </rPr>
      <t>港股账户（</t>
    </r>
    <r>
      <rPr>
        <b/>
        <sz val="14"/>
        <color theme="1"/>
        <rFont val="Calibri"/>
        <charset val="134"/>
      </rPr>
      <t>HKD</t>
    </r>
    <r>
      <rPr>
        <b/>
        <sz val="14"/>
        <color theme="1"/>
        <rFont val="等线"/>
        <charset val="134"/>
      </rPr>
      <t>）</t>
    </r>
  </si>
  <si>
    <t>银行现金账户</t>
  </si>
  <si>
    <t>USDT</t>
  </si>
  <si>
    <r>
      <rPr>
        <sz val="11"/>
        <color theme="1"/>
        <rFont val="等线"/>
        <charset val="134"/>
      </rPr>
      <t>总计</t>
    </r>
  </si>
  <si>
    <t>对比上次盈亏</t>
  </si>
  <si>
    <t>对比上上次盈亏</t>
  </si>
  <si>
    <t>标的里标红的重点关注每周都在上涨</t>
  </si>
  <si>
    <r>
      <rPr>
        <sz val="11"/>
        <color theme="1"/>
        <rFont val="宋体"/>
        <charset val="134"/>
      </rPr>
      <t>1219个人账户转入</t>
    </r>
    <r>
      <rPr>
        <sz val="11"/>
        <color theme="1"/>
        <rFont val="Calibri"/>
        <charset val="134"/>
      </rPr>
      <t>15000USDT</t>
    </r>
  </si>
  <si>
    <t>1.6从美股账户及A股账户出保险金17620美金，A股的现金部分账户转出5WRMB，其余美股账户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</si>
</sst>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36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rgb="FFFF0000"/>
      <name val="Calibri"/>
      <charset val="134"/>
    </font>
    <font>
      <sz val="11"/>
      <color theme="1"/>
      <name val="等线"/>
      <charset val="134"/>
    </font>
    <font>
      <sz val="10"/>
      <color rgb="FFFF0000"/>
      <name val="微软雅黑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b/>
      <sz val="14"/>
      <color theme="1"/>
      <name val="Calibri"/>
      <charset val="134"/>
    </font>
    <font>
      <b/>
      <sz val="14"/>
      <color theme="1"/>
      <name val="等线"/>
      <charset val="134"/>
    </font>
    <font>
      <b/>
      <sz val="10"/>
      <color theme="1"/>
      <name val="微软雅黑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</font>
    <font>
      <sz val="1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0B75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A5CA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24" fillId="16" borderId="9" applyNumberFormat="0" applyAlignment="0" applyProtection="0">
      <alignment vertical="center"/>
    </xf>
    <xf numFmtId="0" fontId="25" fillId="16" borderId="8" applyNumberFormat="0" applyAlignment="0" applyProtection="0">
      <alignment vertical="center"/>
    </xf>
    <xf numFmtId="0" fontId="26" fillId="1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</cellStyleXfs>
  <cellXfs count="1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1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5" fillId="12" borderId="1" xfId="0" applyNumberFormat="1" applyFont="1" applyFill="1" applyBorder="1" applyAlignment="1">
      <alignment horizontal="center" vertical="center"/>
    </xf>
    <xf numFmtId="176" fontId="5" fillId="12" borderId="1" xfId="3" applyNumberFormat="1" applyFont="1" applyFill="1" applyBorder="1" applyAlignment="1">
      <alignment horizontal="center" vertical="center"/>
    </xf>
    <xf numFmtId="9" fontId="5" fillId="12" borderId="1" xfId="3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13" borderId="2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0" fontId="5" fillId="13" borderId="2" xfId="0" applyNumberFormat="1" applyFont="1" applyFill="1" applyBorder="1" applyAlignment="1">
      <alignment horizontal="center" vertical="center"/>
    </xf>
    <xf numFmtId="176" fontId="5" fillId="13" borderId="1" xfId="3" applyNumberFormat="1" applyFont="1" applyFill="1" applyBorder="1" applyAlignment="1">
      <alignment horizontal="center" vertical="center"/>
    </xf>
    <xf numFmtId="9" fontId="5" fillId="13" borderId="1" xfId="3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0" fontId="5" fillId="13" borderId="2" xfId="3" applyNumberFormat="1" applyFont="1" applyFill="1" applyBorder="1" applyAlignment="1">
      <alignment horizontal="center" vertical="center"/>
    </xf>
    <xf numFmtId="176" fontId="5" fillId="13" borderId="1" xfId="0" applyNumberFormat="1" applyFont="1" applyFill="1" applyBorder="1" applyAlignment="1">
      <alignment horizontal="center" vertical="center"/>
    </xf>
    <xf numFmtId="176" fontId="1" fillId="13" borderId="1" xfId="0" applyNumberFormat="1" applyFont="1" applyFill="1" applyBorder="1" applyAlignment="1">
      <alignment vertical="center"/>
    </xf>
    <xf numFmtId="0" fontId="1" fillId="13" borderId="3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0" fontId="5" fillId="13" borderId="3" xfId="0" applyNumberFormat="1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0" fontId="5" fillId="13" borderId="4" xfId="0" applyNumberFormat="1" applyFont="1" applyFill="1" applyBorder="1" applyAlignment="1">
      <alignment horizontal="center" vertical="center"/>
    </xf>
    <xf numFmtId="10" fontId="5" fillId="13" borderId="4" xfId="3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1" fillId="12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0" fontId="5" fillId="12" borderId="2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0" fontId="5" fillId="3" borderId="2" xfId="3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0" fontId="5" fillId="3" borderId="3" xfId="3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/>
    </xf>
    <xf numFmtId="10" fontId="5" fillId="3" borderId="4" xfId="3" applyNumberFormat="1" applyFont="1" applyFill="1" applyBorder="1" applyAlignment="1">
      <alignment horizontal="center" vertical="center"/>
    </xf>
    <xf numFmtId="10" fontId="5" fillId="12" borderId="1" xfId="0" applyNumberFormat="1" applyFont="1" applyFill="1" applyBorder="1" applyAlignment="1">
      <alignment horizontal="center" vertical="center"/>
    </xf>
    <xf numFmtId="176" fontId="1" fillId="12" borderId="1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0" fontId="5" fillId="4" borderId="2" xfId="3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/>
    </xf>
    <xf numFmtId="10" fontId="5" fillId="4" borderId="3" xfId="3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0" fontId="5" fillId="4" borderId="4" xfId="0" applyNumberFormat="1" applyFont="1" applyFill="1" applyBorder="1" applyAlignment="1">
      <alignment horizontal="center" vertical="center"/>
    </xf>
    <xf numFmtId="10" fontId="5" fillId="4" borderId="4" xfId="3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0" fontId="5" fillId="5" borderId="1" xfId="3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vertical="center"/>
    </xf>
    <xf numFmtId="0" fontId="1" fillId="12" borderId="4" xfId="0" applyFont="1" applyFill="1" applyBorder="1" applyAlignment="1">
      <alignment horizontal="center" vertical="center"/>
    </xf>
    <xf numFmtId="10" fontId="5" fillId="12" borderId="4" xfId="0" applyNumberFormat="1" applyFont="1" applyFill="1" applyBorder="1" applyAlignment="1">
      <alignment horizontal="center" vertical="center"/>
    </xf>
    <xf numFmtId="176" fontId="5" fillId="12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5" fillId="0" borderId="4" xfId="3" applyNumberFormat="1" applyFont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0" fontId="5" fillId="6" borderId="2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0" fontId="5" fillId="6" borderId="2" xfId="3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10" fontId="5" fillId="6" borderId="4" xfId="0" applyNumberFormat="1" applyFont="1" applyFill="1" applyBorder="1" applyAlignment="1">
      <alignment horizontal="center" vertical="center"/>
    </xf>
    <xf numFmtId="176" fontId="5" fillId="6" borderId="4" xfId="0" applyNumberFormat="1" applyFont="1" applyFill="1" applyBorder="1" applyAlignment="1">
      <alignment horizontal="center" vertical="center"/>
    </xf>
    <xf numFmtId="10" fontId="5" fillId="6" borderId="4" xfId="3" applyNumberFormat="1" applyFont="1" applyFill="1" applyBorder="1" applyAlignment="1">
      <alignment horizontal="center" vertical="center"/>
    </xf>
    <xf numFmtId="9" fontId="5" fillId="13" borderId="2" xfId="0" applyNumberFormat="1" applyFont="1" applyFill="1" applyBorder="1" applyAlignment="1">
      <alignment horizontal="center" vertical="center"/>
    </xf>
    <xf numFmtId="176" fontId="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9" fontId="5" fillId="13" borderId="3" xfId="0" applyNumberFormat="1" applyFont="1" applyFill="1" applyBorder="1" applyAlignment="1">
      <alignment horizontal="center" vertical="center"/>
    </xf>
    <xf numFmtId="10" fontId="5" fillId="13" borderId="3" xfId="3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9" fontId="5" fillId="13" borderId="4" xfId="0" applyNumberFormat="1" applyFont="1" applyFill="1" applyBorder="1" applyAlignment="1">
      <alignment horizontal="center" vertical="center"/>
    </xf>
    <xf numFmtId="9" fontId="13" fillId="13" borderId="4" xfId="0" applyNumberFormat="1" applyFont="1" applyFill="1" applyBorder="1" applyAlignment="1">
      <alignment horizontal="center" vertical="center"/>
    </xf>
    <xf numFmtId="176" fontId="8" fillId="13" borderId="1" xfId="0" applyNumberFormat="1" applyFont="1" applyFill="1" applyBorder="1" applyAlignment="1">
      <alignment horizontal="center" vertical="center"/>
    </xf>
    <xf numFmtId="9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9" fontId="13" fillId="12" borderId="4" xfId="0" applyNumberFormat="1" applyFont="1" applyFill="1" applyBorder="1" applyAlignment="1">
      <alignment horizontal="center" vertical="center"/>
    </xf>
    <xf numFmtId="176" fontId="13" fillId="12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4" fillId="12" borderId="0" xfId="0" applyFont="1" applyFill="1" applyAlignment="1">
      <alignment horizontal="center" vertical="center" wrapText="1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B756"/>
      <color rgb="00006666"/>
      <color rgb="00666633"/>
      <color rgb="00996633"/>
      <color rgb="00BA5CA9"/>
      <color rgb="00409FD6"/>
      <color rgb="00C2D89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33"/>
  <sheetViews>
    <sheetView tabSelected="1" zoomScale="70" zoomScaleNormal="70" topLeftCell="A6" workbookViewId="0">
      <selection activeCell="W32" sqref="W32"/>
    </sheetView>
  </sheetViews>
  <sheetFormatPr defaultColWidth="9" defaultRowHeight="14.4"/>
  <cols>
    <col min="1" max="1" width="18" style="11" customWidth="1"/>
    <col min="2" max="2" width="40.3333333333333" style="11" customWidth="1"/>
    <col min="3" max="3" width="14.75" style="11" customWidth="1"/>
    <col min="4" max="4" width="13.0833333333333" style="11" customWidth="1"/>
    <col min="5" max="5" width="20.5833333333333" style="11" customWidth="1"/>
    <col min="6" max="6" width="12.3333333333333" style="11" customWidth="1"/>
    <col min="7" max="8" width="15.3333333333333" style="11" customWidth="1"/>
    <col min="9" max="9" width="12" style="11" customWidth="1"/>
    <col min="10" max="10" width="14.5833333333333" style="11" customWidth="1"/>
    <col min="11" max="11" width="18" style="11" customWidth="1"/>
    <col min="12" max="12" width="17.25" style="11" customWidth="1"/>
    <col min="13" max="13" width="10.6666666666667" style="11" customWidth="1"/>
    <col min="14" max="14" width="9" style="11" hidden="1" customWidth="1"/>
    <col min="15" max="15" width="16.75" style="11" customWidth="1"/>
    <col min="16" max="17" width="14.5833333333333" style="11" customWidth="1"/>
    <col min="18" max="18" width="11.9166666666667" style="11" customWidth="1"/>
    <col min="19" max="19" width="16.75" style="11" customWidth="1"/>
    <col min="20" max="20" width="18.5" style="12" customWidth="1"/>
    <col min="21" max="21" width="15.4166666666667" style="13" customWidth="1"/>
    <col min="22" max="22" width="15.8333333333333" style="13" customWidth="1"/>
    <col min="23" max="23" width="18.3333333333333" style="13" customWidth="1"/>
    <col min="24" max="24" width="17.5" style="13" customWidth="1"/>
    <col min="25" max="115" width="9" style="13"/>
    <col min="116" max="16384" width="9" style="11"/>
  </cols>
  <sheetData>
    <row r="1" ht="20.5" customHeight="1" spans="1:115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8" t="s">
        <v>6</v>
      </c>
      <c r="H1" s="19" t="s">
        <v>7</v>
      </c>
      <c r="I1" s="18" t="s">
        <v>5</v>
      </c>
      <c r="J1" s="18">
        <v>1127</v>
      </c>
      <c r="K1" s="20" t="s">
        <v>8</v>
      </c>
      <c r="L1" s="19" t="s">
        <v>7</v>
      </c>
      <c r="M1" s="18" t="s">
        <v>5</v>
      </c>
      <c r="N1" s="18">
        <v>1207</v>
      </c>
      <c r="O1" s="20" t="s">
        <v>9</v>
      </c>
      <c r="P1" s="19" t="s">
        <v>7</v>
      </c>
      <c r="Q1" s="18" t="s">
        <v>5</v>
      </c>
      <c r="R1" s="18">
        <v>1216</v>
      </c>
      <c r="S1" s="20" t="s">
        <v>10</v>
      </c>
      <c r="T1" s="19" t="s">
        <v>7</v>
      </c>
      <c r="U1" s="18" t="s">
        <v>5</v>
      </c>
      <c r="V1" s="123" t="s">
        <v>11</v>
      </c>
      <c r="W1" s="20" t="s">
        <v>12</v>
      </c>
      <c r="X1" s="19" t="s">
        <v>7</v>
      </c>
    </row>
    <row r="2" ht="15" spans="1:115">
      <c r="A2" s="15" t="s">
        <v>13</v>
      </c>
      <c r="B2" s="15"/>
      <c r="C2" s="21">
        <v>0.75</v>
      </c>
      <c r="D2" s="21">
        <v>0.55</v>
      </c>
      <c r="E2" s="22"/>
      <c r="F2" s="21">
        <f>(G4+G5+G7+G8+G9+G10+G12+G13+G14)/G29</f>
        <v>0.596030924128683</v>
      </c>
      <c r="G2" s="23"/>
      <c r="H2" s="18"/>
      <c r="I2" s="23">
        <f>(K6+K11+K15)/$K$29</f>
        <v>0.596042155201459</v>
      </c>
      <c r="J2" s="24"/>
      <c r="K2" s="24"/>
      <c r="L2" s="18"/>
      <c r="M2" s="23">
        <f>(O6+O11+O15)/O29</f>
        <v>0.572656036560866</v>
      </c>
      <c r="N2" s="18"/>
      <c r="O2" s="24"/>
      <c r="P2" s="18"/>
      <c r="Q2" s="23">
        <f>(S6+S11+S15)/S29</f>
        <v>0.582768924013311</v>
      </c>
      <c r="R2" s="18"/>
      <c r="S2" s="24"/>
      <c r="T2" s="25"/>
      <c r="U2" s="23">
        <f>IFERROR((W6+W11+W15)/W29,"0")</f>
        <v>0.6509377972452</v>
      </c>
      <c r="V2" s="18"/>
      <c r="W2" s="24"/>
      <c r="X2" s="25"/>
    </row>
    <row r="3" s="1" customFormat="1" ht="15" spans="1:115">
      <c r="A3" s="26" t="s">
        <v>14</v>
      </c>
      <c r="B3" s="27" t="s">
        <v>15</v>
      </c>
      <c r="C3" s="28">
        <v>0.375</v>
      </c>
      <c r="D3" s="28">
        <v>0.0165</v>
      </c>
      <c r="E3" s="29"/>
      <c r="F3" s="28">
        <f>(G4+G5)/G29</f>
        <v>0.0675921369267676</v>
      </c>
      <c r="G3" s="30"/>
      <c r="H3" s="31"/>
      <c r="I3" s="32">
        <f>K6/K29</f>
        <v>0.0711390371052816</v>
      </c>
      <c r="J3" s="33">
        <v>0</v>
      </c>
      <c r="K3" s="33">
        <v>0</v>
      </c>
      <c r="L3" s="31"/>
      <c r="M3" s="32">
        <f>O6/O29</f>
        <v>0.0756268244903429</v>
      </c>
      <c r="N3" s="31">
        <v>3855</v>
      </c>
      <c r="O3" s="33">
        <f>N3*7.1</f>
        <v>27370.5</v>
      </c>
      <c r="P3" s="31">
        <f>O3-K3</f>
        <v>27370.5</v>
      </c>
      <c r="Q3" s="32">
        <f>S6/S29</f>
        <v>0.0812341586903145</v>
      </c>
      <c r="R3" s="31">
        <v>4860</v>
      </c>
      <c r="S3" s="33">
        <f>R3*7.1</f>
        <v>34506</v>
      </c>
      <c r="T3" s="34">
        <f>S3-O3</f>
        <v>7135.5</v>
      </c>
      <c r="U3" s="32">
        <f>W6/W29</f>
        <v>0.0930863984687123</v>
      </c>
      <c r="V3" s="31">
        <v>5337</v>
      </c>
      <c r="W3" s="33">
        <f>V3*7.1</f>
        <v>37892.7</v>
      </c>
      <c r="X3" s="34">
        <f t="shared" ref="X3:X10" si="0">W3-S3</f>
        <v>3386.7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</row>
    <row r="4" s="1" customFormat="1" ht="19.5" customHeight="1" spans="1:115">
      <c r="A4" s="35"/>
      <c r="B4" s="36" t="s">
        <v>16</v>
      </c>
      <c r="C4" s="37"/>
      <c r="D4" s="37"/>
      <c r="E4" s="33">
        <v>17685</v>
      </c>
      <c r="F4" s="37"/>
      <c r="G4" s="33">
        <v>50203</v>
      </c>
      <c r="H4" s="31">
        <f>G4-E4</f>
        <v>32518</v>
      </c>
      <c r="I4" s="32"/>
      <c r="J4" s="33">
        <v>7371</v>
      </c>
      <c r="K4" s="33">
        <f>J4*7.1</f>
        <v>52334.1</v>
      </c>
      <c r="L4" s="31">
        <f>K4-G4</f>
        <v>2131.1</v>
      </c>
      <c r="M4" s="32"/>
      <c r="N4" s="31">
        <v>7505</v>
      </c>
      <c r="O4" s="33">
        <f>N4*7.1</f>
        <v>53285.5</v>
      </c>
      <c r="P4" s="31">
        <f>O4-K4</f>
        <v>951.400000000001</v>
      </c>
      <c r="Q4" s="32"/>
      <c r="R4" s="31">
        <v>7265</v>
      </c>
      <c r="S4" s="33">
        <f>R4*7.1</f>
        <v>51581.5</v>
      </c>
      <c r="T4" s="34">
        <f>S4-O4</f>
        <v>-1704</v>
      </c>
      <c r="U4" s="32"/>
      <c r="V4" s="31">
        <v>7483</v>
      </c>
      <c r="W4" s="33">
        <f>V4*7.1</f>
        <v>53129.3</v>
      </c>
      <c r="X4" s="34">
        <f t="shared" si="0"/>
        <v>1547.8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</row>
    <row r="5" ht="15" spans="1:115">
      <c r="A5" s="38"/>
      <c r="B5" s="39" t="s">
        <v>17</v>
      </c>
      <c r="C5" s="40"/>
      <c r="D5" s="40"/>
      <c r="E5" s="33">
        <v>0</v>
      </c>
      <c r="F5" s="40"/>
      <c r="G5" s="33">
        <v>22180</v>
      </c>
      <c r="H5" s="31">
        <f>G5-E5</f>
        <v>22180</v>
      </c>
      <c r="I5" s="41"/>
      <c r="J5" s="33">
        <v>3413</v>
      </c>
      <c r="K5" s="33">
        <f>J5*7.1</f>
        <v>24232.3</v>
      </c>
      <c r="L5" s="31">
        <f>K5-G5</f>
        <v>2052.3</v>
      </c>
      <c r="M5" s="41"/>
      <c r="N5" s="31">
        <v>0</v>
      </c>
      <c r="O5" s="33">
        <f>N5*7.1</f>
        <v>0</v>
      </c>
      <c r="P5" s="31">
        <f t="shared" ref="P5:P27" si="1">O5-K5</f>
        <v>-24232.3</v>
      </c>
      <c r="Q5" s="41"/>
      <c r="R5" s="31">
        <v>0</v>
      </c>
      <c r="S5" s="33">
        <f>R5*7.1</f>
        <v>0</v>
      </c>
      <c r="T5" s="42">
        <f t="shared" ref="T5:T27" si="2">S5-N5</f>
        <v>0</v>
      </c>
      <c r="U5" s="41"/>
      <c r="V5" s="31">
        <v>0</v>
      </c>
      <c r="W5" s="33">
        <f>V5*7.1</f>
        <v>0</v>
      </c>
      <c r="X5" s="42">
        <f>W5-R5</f>
        <v>0</v>
      </c>
    </row>
    <row r="6" ht="35" customHeight="1" spans="1:115">
      <c r="A6" s="43"/>
      <c r="B6" s="44" t="s">
        <v>18</v>
      </c>
      <c r="C6" s="45"/>
      <c r="D6" s="46"/>
      <c r="E6" s="47">
        <f>SUM(E4:E5)</f>
        <v>17685</v>
      </c>
      <c r="F6" s="45"/>
      <c r="G6" s="47">
        <f>SUM(G4:G5)</f>
        <v>72383</v>
      </c>
      <c r="H6" s="18">
        <f t="shared" ref="H6:H27" si="3">G6-E6</f>
        <v>54698</v>
      </c>
      <c r="I6" s="48"/>
      <c r="J6" s="24"/>
      <c r="K6" s="47">
        <f>SUM(K4:K5)</f>
        <v>76566.4</v>
      </c>
      <c r="L6" s="18">
        <f t="shared" ref="L6:L10" si="4">K6-G6</f>
        <v>4183.39999999999</v>
      </c>
      <c r="M6" s="48"/>
      <c r="N6" s="18"/>
      <c r="O6" s="47">
        <f>SUM(O3:O5)</f>
        <v>80656</v>
      </c>
      <c r="P6" s="18">
        <f>SUM(P3:P5)</f>
        <v>4089.6</v>
      </c>
      <c r="Q6" s="48"/>
      <c r="R6" s="18"/>
      <c r="S6" s="47">
        <f t="shared" ref="S6:X6" si="5">SUM(S3:S5)</f>
        <v>86087.5</v>
      </c>
      <c r="T6" s="25">
        <f t="shared" si="5"/>
        <v>5431.5</v>
      </c>
      <c r="U6" s="48"/>
      <c r="V6" s="18"/>
      <c r="W6" s="47">
        <f t="shared" si="5"/>
        <v>91022</v>
      </c>
      <c r="X6" s="25">
        <f t="shared" si="5"/>
        <v>4934.49999999999</v>
      </c>
    </row>
    <row r="7" s="2" customFormat="1" ht="41" customHeight="1" spans="1:115">
      <c r="A7" s="49" t="s">
        <v>19</v>
      </c>
      <c r="B7" s="50" t="s">
        <v>20</v>
      </c>
      <c r="C7" s="51">
        <v>0.1875</v>
      </c>
      <c r="D7" s="52">
        <v>0.3836</v>
      </c>
      <c r="E7" s="53">
        <v>287026</v>
      </c>
      <c r="F7" s="51">
        <f>(G7+G8+G9+G10)/G29</f>
        <v>0.372373536132467</v>
      </c>
      <c r="G7" s="53">
        <v>294200</v>
      </c>
      <c r="H7" s="50">
        <f t="shared" si="3"/>
        <v>7174</v>
      </c>
      <c r="I7" s="54">
        <f>K11/K29</f>
        <v>0.36954086628119</v>
      </c>
      <c r="J7" s="53">
        <v>289460</v>
      </c>
      <c r="K7" s="53">
        <v>289460</v>
      </c>
      <c r="L7" s="50">
        <f t="shared" si="4"/>
        <v>-4740</v>
      </c>
      <c r="M7" s="54">
        <f>O11/O29</f>
        <v>0.368440731859804</v>
      </c>
      <c r="N7" s="50">
        <v>286002</v>
      </c>
      <c r="O7" s="53">
        <f t="shared" ref="O7:O10" si="6">N7</f>
        <v>286002</v>
      </c>
      <c r="P7" s="50">
        <f t="shared" si="1"/>
        <v>-3458</v>
      </c>
      <c r="Q7" s="54">
        <f>S11/S29</f>
        <v>0.371444989393109</v>
      </c>
      <c r="R7" s="50">
        <v>283400</v>
      </c>
      <c r="S7" s="53">
        <f t="shared" ref="S7:S10" si="7">R7</f>
        <v>283400</v>
      </c>
      <c r="T7" s="55">
        <f>S7-O7</f>
        <v>-2602</v>
      </c>
      <c r="U7" s="54">
        <f>W11/W29</f>
        <v>0.413297800377465</v>
      </c>
      <c r="V7" s="50">
        <v>284772</v>
      </c>
      <c r="W7" s="53">
        <f t="shared" ref="W7:W10" si="8">V7</f>
        <v>284772</v>
      </c>
      <c r="X7" s="55">
        <f t="shared" si="0"/>
        <v>1372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</row>
    <row r="8" s="2" customFormat="1" ht="34" customHeight="1" spans="1:115">
      <c r="A8" s="56"/>
      <c r="B8" s="50" t="s">
        <v>21</v>
      </c>
      <c r="C8" s="52"/>
      <c r="D8" s="52"/>
      <c r="E8" s="53">
        <v>70090</v>
      </c>
      <c r="F8" s="52"/>
      <c r="G8" s="53">
        <v>54769</v>
      </c>
      <c r="H8" s="50">
        <f t="shared" si="3"/>
        <v>-15321</v>
      </c>
      <c r="I8" s="57"/>
      <c r="J8" s="53">
        <v>52848</v>
      </c>
      <c r="K8" s="53">
        <v>52848</v>
      </c>
      <c r="L8" s="50">
        <f t="shared" si="4"/>
        <v>-1921</v>
      </c>
      <c r="M8" s="57"/>
      <c r="N8" s="50">
        <v>50288</v>
      </c>
      <c r="O8" s="53">
        <f t="shared" si="6"/>
        <v>50288</v>
      </c>
      <c r="P8" s="50">
        <f t="shared" si="1"/>
        <v>-2560</v>
      </c>
      <c r="Q8" s="57"/>
      <c r="R8" s="50">
        <v>49864</v>
      </c>
      <c r="S8" s="53">
        <f t="shared" si="7"/>
        <v>49864</v>
      </c>
      <c r="T8" s="55">
        <f t="shared" ref="T8:T11" si="9">S8-O8</f>
        <v>-424</v>
      </c>
      <c r="U8" s="57"/>
      <c r="V8" s="50">
        <v>49824</v>
      </c>
      <c r="W8" s="53">
        <f t="shared" si="8"/>
        <v>49824</v>
      </c>
      <c r="X8" s="55">
        <f t="shared" si="0"/>
        <v>-40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</row>
    <row r="9" s="2" customFormat="1" ht="31" customHeight="1" spans="1:115">
      <c r="A9" s="56"/>
      <c r="B9" s="50" t="s">
        <v>22</v>
      </c>
      <c r="C9" s="52"/>
      <c r="D9" s="52"/>
      <c r="E9" s="53">
        <v>19990</v>
      </c>
      <c r="F9" s="52"/>
      <c r="G9" s="53">
        <v>11928</v>
      </c>
      <c r="H9" s="50">
        <f t="shared" si="3"/>
        <v>-8062</v>
      </c>
      <c r="I9" s="57"/>
      <c r="J9" s="53">
        <v>11637</v>
      </c>
      <c r="K9" s="53">
        <v>11637</v>
      </c>
      <c r="L9" s="50">
        <f t="shared" si="4"/>
        <v>-291</v>
      </c>
      <c r="M9" s="57"/>
      <c r="N9" s="50">
        <v>11466</v>
      </c>
      <c r="O9" s="53">
        <f t="shared" si="6"/>
        <v>11466</v>
      </c>
      <c r="P9" s="50">
        <f t="shared" si="1"/>
        <v>-171</v>
      </c>
      <c r="Q9" s="57"/>
      <c r="R9" s="50">
        <v>11241</v>
      </c>
      <c r="S9" s="53">
        <f t="shared" si="7"/>
        <v>11241</v>
      </c>
      <c r="T9" s="55">
        <f t="shared" si="9"/>
        <v>-225</v>
      </c>
      <c r="U9" s="57"/>
      <c r="V9" s="50">
        <v>11640</v>
      </c>
      <c r="W9" s="53">
        <f t="shared" si="8"/>
        <v>11640</v>
      </c>
      <c r="X9" s="55">
        <f t="shared" si="0"/>
        <v>399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</row>
    <row r="10" s="2" customFormat="1" ht="32" customHeight="1" spans="1:115">
      <c r="A10" s="56"/>
      <c r="B10" s="58" t="s">
        <v>23</v>
      </c>
      <c r="C10" s="52"/>
      <c r="D10" s="59"/>
      <c r="E10" s="53">
        <v>34754</v>
      </c>
      <c r="F10" s="52"/>
      <c r="G10" s="53">
        <v>37870</v>
      </c>
      <c r="H10" s="50">
        <f t="shared" si="3"/>
        <v>3116</v>
      </c>
      <c r="I10" s="60"/>
      <c r="J10" s="53">
        <v>43789</v>
      </c>
      <c r="K10" s="53">
        <v>43789</v>
      </c>
      <c r="L10" s="50">
        <f t="shared" si="4"/>
        <v>5919</v>
      </c>
      <c r="M10" s="60"/>
      <c r="N10" s="50">
        <v>45186</v>
      </c>
      <c r="O10" s="53">
        <f t="shared" si="6"/>
        <v>45186</v>
      </c>
      <c r="P10" s="50">
        <f t="shared" si="1"/>
        <v>1397</v>
      </c>
      <c r="Q10" s="60"/>
      <c r="R10" s="50">
        <v>49132</v>
      </c>
      <c r="S10" s="53">
        <f t="shared" si="7"/>
        <v>49132</v>
      </c>
      <c r="T10" s="55">
        <f t="shared" si="9"/>
        <v>3946</v>
      </c>
      <c r="U10" s="60"/>
      <c r="V10" s="50">
        <v>57896</v>
      </c>
      <c r="W10" s="53">
        <f t="shared" si="8"/>
        <v>57896</v>
      </c>
      <c r="X10" s="55">
        <f t="shared" si="0"/>
        <v>8764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</row>
    <row r="11" ht="26" customHeight="1" spans="1:115">
      <c r="A11" s="17"/>
      <c r="B11" s="44" t="s">
        <v>18</v>
      </c>
      <c r="C11" s="45"/>
      <c r="D11" s="46"/>
      <c r="E11" s="47">
        <f>SUM(E7:E10)</f>
        <v>411860</v>
      </c>
      <c r="F11" s="61"/>
      <c r="G11" s="47">
        <f>SUM(G7:G10)</f>
        <v>398767</v>
      </c>
      <c r="H11" s="18">
        <f t="shared" si="3"/>
        <v>-13093</v>
      </c>
      <c r="I11" s="48"/>
      <c r="J11" s="24">
        <f>SUM(J7:J10)</f>
        <v>397734</v>
      </c>
      <c r="K11" s="47">
        <f>SUM(K7:K10)</f>
        <v>397734</v>
      </c>
      <c r="L11" s="18">
        <f t="shared" ref="L11:L16" si="10">K11-G11</f>
        <v>-1033</v>
      </c>
      <c r="M11" s="48"/>
      <c r="N11" s="18"/>
      <c r="O11" s="47">
        <f>SUM(O7:O10)</f>
        <v>392942</v>
      </c>
      <c r="P11" s="18">
        <f t="shared" si="1"/>
        <v>-4792</v>
      </c>
      <c r="Q11" s="48"/>
      <c r="R11" s="18"/>
      <c r="S11" s="47">
        <f t="shared" ref="S11:X11" si="11">SUM(S7:S10)</f>
        <v>393637</v>
      </c>
      <c r="T11" s="62">
        <f t="shared" si="11"/>
        <v>695</v>
      </c>
      <c r="U11" s="48"/>
      <c r="V11" s="18"/>
      <c r="W11" s="47">
        <f t="shared" si="11"/>
        <v>404132</v>
      </c>
      <c r="X11" s="62">
        <f t="shared" si="11"/>
        <v>10495</v>
      </c>
    </row>
    <row r="12" s="3" customFormat="1" ht="15" spans="1:115">
      <c r="A12" s="63" t="s">
        <v>24</v>
      </c>
      <c r="B12" s="64" t="s">
        <v>25</v>
      </c>
      <c r="C12" s="65">
        <v>0.1875</v>
      </c>
      <c r="D12" s="65">
        <v>0.1527</v>
      </c>
      <c r="E12" s="66">
        <v>101929</v>
      </c>
      <c r="F12" s="65">
        <f>(G12+G13+G14)/G29</f>
        <v>0.156065251069449</v>
      </c>
      <c r="G12" s="66">
        <v>98209</v>
      </c>
      <c r="H12" s="64">
        <f t="shared" si="3"/>
        <v>-3720</v>
      </c>
      <c r="I12" s="67">
        <f>K15/K29</f>
        <v>0.155362251814988</v>
      </c>
      <c r="J12" s="66">
        <v>13547</v>
      </c>
      <c r="K12" s="66">
        <f>J12*7.1</f>
        <v>96183.7</v>
      </c>
      <c r="L12" s="64">
        <f t="shared" si="10"/>
        <v>-2025.3</v>
      </c>
      <c r="M12" s="67">
        <f>O15/O29</f>
        <v>0.12858848021072</v>
      </c>
      <c r="N12" s="64">
        <v>9262</v>
      </c>
      <c r="O12" s="66">
        <f>N12*7.1</f>
        <v>65760.2</v>
      </c>
      <c r="P12" s="64">
        <f t="shared" si="1"/>
        <v>-30423.5</v>
      </c>
      <c r="Q12" s="67">
        <f>S15/S29</f>
        <v>0.130089775929887</v>
      </c>
      <c r="R12" s="64">
        <v>9189</v>
      </c>
      <c r="S12" s="66">
        <f>R12*7.1</f>
        <v>65241.9</v>
      </c>
      <c r="T12" s="68">
        <f>S12-O12</f>
        <v>-518.300000000003</v>
      </c>
      <c r="U12" s="67">
        <f>W15/W29</f>
        <v>0.144553598399023</v>
      </c>
      <c r="V12" s="64">
        <v>9363</v>
      </c>
      <c r="W12" s="66">
        <f>V12*7.1</f>
        <v>66477.3</v>
      </c>
      <c r="X12" s="68">
        <f t="shared" ref="X12:X16" si="12">W12-S12</f>
        <v>1235.4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="3" customFormat="1" ht="15" spans="1:115">
      <c r="A13" s="69"/>
      <c r="B13" s="70" t="s">
        <v>26</v>
      </c>
      <c r="C13" s="71"/>
      <c r="D13" s="71"/>
      <c r="E13" s="66">
        <v>56979.8</v>
      </c>
      <c r="F13" s="71"/>
      <c r="G13" s="66">
        <v>63818</v>
      </c>
      <c r="H13" s="64">
        <f t="shared" si="3"/>
        <v>6838.2</v>
      </c>
      <c r="I13" s="72"/>
      <c r="J13" s="66">
        <v>9265</v>
      </c>
      <c r="K13" s="66">
        <f>J13*7.1</f>
        <v>65781.5</v>
      </c>
      <c r="L13" s="64">
        <f t="shared" si="10"/>
        <v>1963.5</v>
      </c>
      <c r="M13" s="72"/>
      <c r="N13" s="64">
        <v>9314</v>
      </c>
      <c r="O13" s="66">
        <f>N13*7.1</f>
        <v>66129.4</v>
      </c>
      <c r="P13" s="64">
        <f t="shared" si="1"/>
        <v>347.899999999994</v>
      </c>
      <c r="Q13" s="72"/>
      <c r="R13" s="64">
        <v>9531</v>
      </c>
      <c r="S13" s="66">
        <f>R13*7.1</f>
        <v>67670.1</v>
      </c>
      <c r="T13" s="68">
        <f>S13-O13</f>
        <v>1540.7</v>
      </c>
      <c r="U13" s="72"/>
      <c r="V13" s="64">
        <v>9815</v>
      </c>
      <c r="W13" s="66">
        <f>V13*7.1</f>
        <v>69686.5</v>
      </c>
      <c r="X13" s="68">
        <f t="shared" si="12"/>
        <v>2016.39999999999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</row>
    <row r="14" s="3" customFormat="1" ht="15" spans="1:115">
      <c r="A14" s="73"/>
      <c r="B14" s="74" t="s">
        <v>27</v>
      </c>
      <c r="C14" s="75"/>
      <c r="D14" s="75"/>
      <c r="E14" s="66">
        <v>5000</v>
      </c>
      <c r="F14" s="75"/>
      <c r="G14" s="66">
        <v>5100</v>
      </c>
      <c r="H14" s="64">
        <f t="shared" si="3"/>
        <v>100</v>
      </c>
      <c r="I14" s="76"/>
      <c r="J14" s="66">
        <v>5250</v>
      </c>
      <c r="K14" s="66">
        <v>5250</v>
      </c>
      <c r="L14" s="64">
        <f t="shared" si="10"/>
        <v>150</v>
      </c>
      <c r="M14" s="76"/>
      <c r="N14" s="64">
        <v>5271</v>
      </c>
      <c r="O14" s="66">
        <v>5250</v>
      </c>
      <c r="P14" s="77">
        <f t="shared" si="1"/>
        <v>0</v>
      </c>
      <c r="Q14" s="76"/>
      <c r="R14" s="64">
        <v>4950</v>
      </c>
      <c r="S14" s="66">
        <f>R14</f>
        <v>4950</v>
      </c>
      <c r="T14" s="68">
        <f>S14-O14</f>
        <v>-300</v>
      </c>
      <c r="U14" s="76"/>
      <c r="V14" s="64">
        <v>5184</v>
      </c>
      <c r="W14" s="66">
        <f t="shared" ref="W14:W19" si="13">V14</f>
        <v>5184</v>
      </c>
      <c r="X14" s="68">
        <f t="shared" si="12"/>
        <v>234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</row>
    <row r="15" ht="30" customHeight="1" spans="1:115">
      <c r="A15" s="17"/>
      <c r="B15" s="44" t="s">
        <v>18</v>
      </c>
      <c r="C15" s="61"/>
      <c r="D15" s="61"/>
      <c r="E15" s="47">
        <f>SUM(E12:E14)</f>
        <v>163908.8</v>
      </c>
      <c r="F15" s="61"/>
      <c r="G15" s="47">
        <f>SUM(G12:G14)</f>
        <v>167127</v>
      </c>
      <c r="H15" s="18">
        <f t="shared" si="3"/>
        <v>3218.20000000001</v>
      </c>
      <c r="I15" s="48"/>
      <c r="J15" s="24"/>
      <c r="K15" s="47">
        <f>SUM(K12:K14)</f>
        <v>167215.2</v>
      </c>
      <c r="L15" s="18">
        <f t="shared" si="10"/>
        <v>88.2000000000116</v>
      </c>
      <c r="M15" s="48"/>
      <c r="N15" s="18"/>
      <c r="O15" s="47">
        <f>SUM(O12:O14)</f>
        <v>137139.6</v>
      </c>
      <c r="P15" s="18">
        <f t="shared" si="1"/>
        <v>-30075.6</v>
      </c>
      <c r="Q15" s="48"/>
      <c r="R15" s="18"/>
      <c r="S15" s="47">
        <f>SUM(S12:S14)</f>
        <v>137862</v>
      </c>
      <c r="T15" s="78">
        <f>S15-O15</f>
        <v>722.400000000023</v>
      </c>
      <c r="U15" s="48"/>
      <c r="V15" s="18"/>
      <c r="W15" s="47">
        <f>SUM(W12:W14)</f>
        <v>141347.8</v>
      </c>
      <c r="X15" s="78">
        <f t="shared" si="12"/>
        <v>3485.79999999999</v>
      </c>
    </row>
    <row r="16" s="4" customFormat="1" ht="15" spans="1:115">
      <c r="A16" s="79" t="s">
        <v>28</v>
      </c>
      <c r="B16" s="80" t="s">
        <v>29</v>
      </c>
      <c r="C16" s="81">
        <v>0.08</v>
      </c>
      <c r="D16" s="81">
        <v>0.0408</v>
      </c>
      <c r="E16" s="82">
        <v>43775</v>
      </c>
      <c r="F16" s="81">
        <f>G16/G29</f>
        <v>0.0414706049889857</v>
      </c>
      <c r="G16" s="82">
        <v>44410</v>
      </c>
      <c r="H16" s="79">
        <f t="shared" si="3"/>
        <v>635</v>
      </c>
      <c r="I16" s="83">
        <f>K16/K29</f>
        <v>0.0418566580326741</v>
      </c>
      <c r="J16" s="84">
        <v>45050</v>
      </c>
      <c r="K16" s="82">
        <f t="shared" ref="K16:K19" si="14">J16</f>
        <v>45050</v>
      </c>
      <c r="L16" s="79">
        <f t="shared" si="10"/>
        <v>640</v>
      </c>
      <c r="M16" s="83">
        <f>O16/O29</f>
        <v>0.0428316968696546</v>
      </c>
      <c r="N16" s="79">
        <v>45680</v>
      </c>
      <c r="O16" s="82">
        <f t="shared" ref="O16:O19" si="15">N16</f>
        <v>45680</v>
      </c>
      <c r="P16" s="79">
        <f t="shared" si="1"/>
        <v>630</v>
      </c>
      <c r="Q16" s="83">
        <f>S16/S29</f>
        <v>0.0435765174772031</v>
      </c>
      <c r="R16" s="79">
        <v>46180</v>
      </c>
      <c r="S16" s="82">
        <f t="shared" ref="S16:S19" si="16">R16</f>
        <v>46180</v>
      </c>
      <c r="T16" s="85">
        <f>S16-O16</f>
        <v>500</v>
      </c>
      <c r="U16" s="83">
        <f>W16/W29</f>
        <v>0.0490528564803211</v>
      </c>
      <c r="V16" s="79">
        <v>47965</v>
      </c>
      <c r="W16" s="82">
        <f t="shared" si="13"/>
        <v>47965</v>
      </c>
      <c r="X16" s="85">
        <f t="shared" si="12"/>
        <v>1785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</row>
    <row r="17" ht="15" spans="1:115">
      <c r="A17" s="17"/>
      <c r="B17" s="86"/>
      <c r="C17" s="87"/>
      <c r="D17" s="87"/>
      <c r="E17" s="88"/>
      <c r="F17" s="87"/>
      <c r="G17" s="89"/>
      <c r="H17" s="90">
        <f t="shared" si="3"/>
        <v>0</v>
      </c>
      <c r="I17" s="91"/>
      <c r="J17" s="89"/>
      <c r="K17" s="89"/>
      <c r="L17" s="90"/>
      <c r="M17" s="91"/>
      <c r="N17" s="90"/>
      <c r="O17" s="89"/>
      <c r="P17" s="90">
        <f t="shared" si="1"/>
        <v>0</v>
      </c>
      <c r="Q17" s="91"/>
      <c r="R17" s="90"/>
      <c r="S17" s="24"/>
      <c r="T17" s="25">
        <f>S17-N17</f>
        <v>0</v>
      </c>
      <c r="U17" s="91"/>
      <c r="V17" s="90"/>
      <c r="W17" s="24"/>
      <c r="X17" s="25">
        <f>W17-R17</f>
        <v>0</v>
      </c>
    </row>
    <row r="18" s="5" customFormat="1" ht="15" spans="1:115">
      <c r="A18" s="92" t="s">
        <v>30</v>
      </c>
      <c r="B18" s="93" t="s">
        <v>31</v>
      </c>
      <c r="C18" s="94">
        <v>0.12</v>
      </c>
      <c r="D18" s="94">
        <v>0</v>
      </c>
      <c r="E18" s="95">
        <v>0</v>
      </c>
      <c r="F18" s="94">
        <f>(G19+G18)/G29</f>
        <v>0.00238122140783413</v>
      </c>
      <c r="G18" s="95">
        <v>1292</v>
      </c>
      <c r="H18" s="93">
        <f t="shared" si="3"/>
        <v>1292</v>
      </c>
      <c r="I18" s="96">
        <f>K20/K29</f>
        <v>0.00881823621283262</v>
      </c>
      <c r="J18" s="95">
        <v>5112</v>
      </c>
      <c r="K18" s="95">
        <f t="shared" si="14"/>
        <v>5112</v>
      </c>
      <c r="L18" s="93">
        <f>K18-G18</f>
        <v>3820</v>
      </c>
      <c r="M18" s="96">
        <f>O20/O29</f>
        <v>0.0295208656796017</v>
      </c>
      <c r="N18" s="93">
        <v>19565</v>
      </c>
      <c r="O18" s="95">
        <f t="shared" si="15"/>
        <v>19565</v>
      </c>
      <c r="P18" s="93">
        <f t="shared" si="1"/>
        <v>14453</v>
      </c>
      <c r="Q18" s="96">
        <f>S20/S29</f>
        <v>0.028445520124519</v>
      </c>
      <c r="R18" s="93">
        <v>18843</v>
      </c>
      <c r="S18" s="95">
        <f t="shared" ref="S18:S21" si="17">R18</f>
        <v>18843</v>
      </c>
      <c r="T18" s="97">
        <f>S18-O18</f>
        <v>-722</v>
      </c>
      <c r="U18" s="96">
        <f>W20/W29</f>
        <v>0.034042978974605</v>
      </c>
      <c r="V18" s="93">
        <v>20813</v>
      </c>
      <c r="W18" s="95">
        <f t="shared" si="13"/>
        <v>20813</v>
      </c>
      <c r="X18" s="97">
        <f t="shared" ref="X18:X20" si="18">W18-S18</f>
        <v>1970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</row>
    <row r="19" s="5" customFormat="1" ht="15" spans="1:115">
      <c r="A19" s="98"/>
      <c r="B19" s="93" t="s">
        <v>32</v>
      </c>
      <c r="C19" s="99"/>
      <c r="D19" s="99"/>
      <c r="E19" s="100">
        <v>0</v>
      </c>
      <c r="F19" s="99"/>
      <c r="G19" s="95">
        <v>1258</v>
      </c>
      <c r="H19" s="93">
        <f t="shared" si="3"/>
        <v>1258</v>
      </c>
      <c r="I19" s="101"/>
      <c r="J19" s="95">
        <v>4379</v>
      </c>
      <c r="K19" s="95">
        <f t="shared" si="14"/>
        <v>4379</v>
      </c>
      <c r="L19" s="93">
        <f>K19-G19</f>
        <v>3121</v>
      </c>
      <c r="M19" s="101"/>
      <c r="N19" s="93">
        <v>11919</v>
      </c>
      <c r="O19" s="95">
        <f t="shared" si="15"/>
        <v>11919</v>
      </c>
      <c r="P19" s="93">
        <f t="shared" si="1"/>
        <v>7540</v>
      </c>
      <c r="Q19" s="101"/>
      <c r="R19" s="93">
        <v>11302</v>
      </c>
      <c r="S19" s="95">
        <f t="shared" si="17"/>
        <v>11302</v>
      </c>
      <c r="T19" s="97">
        <f>S19-O19</f>
        <v>-617</v>
      </c>
      <c r="U19" s="101"/>
      <c r="V19" s="93">
        <v>12475</v>
      </c>
      <c r="W19" s="95">
        <f t="shared" si="13"/>
        <v>12475</v>
      </c>
      <c r="X19" s="97">
        <f t="shared" si="18"/>
        <v>1173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</row>
    <row r="20" ht="23" customHeight="1" spans="1:115">
      <c r="A20" s="17"/>
      <c r="B20" s="44" t="s">
        <v>18</v>
      </c>
      <c r="C20" s="61"/>
      <c r="D20" s="61"/>
      <c r="E20" s="47">
        <f>SUM(E18:E19)</f>
        <v>0</v>
      </c>
      <c r="F20" s="61"/>
      <c r="G20" s="47">
        <f>SUM(G18:G19)</f>
        <v>2550</v>
      </c>
      <c r="H20" s="18">
        <f t="shared" si="3"/>
        <v>2550</v>
      </c>
      <c r="I20" s="48"/>
      <c r="J20" s="24">
        <f t="shared" ref="J20:O20" si="19">SUM(J18:J19)</f>
        <v>9491</v>
      </c>
      <c r="K20" s="47">
        <f t="shared" si="19"/>
        <v>9491</v>
      </c>
      <c r="L20" s="78">
        <f t="shared" ref="L20:L27" si="20">K20-G20</f>
        <v>6941</v>
      </c>
      <c r="M20" s="48"/>
      <c r="N20" s="18"/>
      <c r="O20" s="47">
        <f t="shared" si="19"/>
        <v>31484</v>
      </c>
      <c r="P20" s="18">
        <f t="shared" si="1"/>
        <v>21993</v>
      </c>
      <c r="Q20" s="48"/>
      <c r="R20" s="18"/>
      <c r="S20" s="47">
        <f t="shared" ref="S20:T20" si="21">SUM(S18:S19)</f>
        <v>30145</v>
      </c>
      <c r="T20" s="62">
        <f>S20-O20</f>
        <v>-1339</v>
      </c>
      <c r="U20" s="48"/>
      <c r="V20" s="18"/>
      <c r="W20" s="47">
        <f>SUM(W18:W19)</f>
        <v>33288</v>
      </c>
      <c r="X20" s="62">
        <f t="shared" si="18"/>
        <v>3143</v>
      </c>
    </row>
    <row r="21" ht="15" spans="1:115">
      <c r="A21" s="26" t="s">
        <v>33</v>
      </c>
      <c r="B21" s="39" t="s">
        <v>34</v>
      </c>
      <c r="C21" s="102">
        <v>0.05</v>
      </c>
      <c r="D21" s="102">
        <v>0.41</v>
      </c>
      <c r="E21" s="33">
        <v>63308</v>
      </c>
      <c r="F21" s="102">
        <f>(G21+G22+G23+G24+G25)/G29</f>
        <v>0.360117249474497</v>
      </c>
      <c r="G21" s="33">
        <v>50988</v>
      </c>
      <c r="H21" s="31">
        <f t="shared" si="3"/>
        <v>-12320</v>
      </c>
      <c r="I21" s="32">
        <f>K27/K29</f>
        <v>0.353282950553034</v>
      </c>
      <c r="J21" s="33">
        <v>0</v>
      </c>
      <c r="K21" s="33">
        <f>J21</f>
        <v>0</v>
      </c>
      <c r="L21" s="103">
        <f t="shared" si="20"/>
        <v>-50988</v>
      </c>
      <c r="M21" s="32">
        <f>O27/O29</f>
        <v>0.354991400889877</v>
      </c>
      <c r="N21" s="31"/>
      <c r="O21" s="33">
        <f t="shared" ref="O21:O26" si="22">N21</f>
        <v>0</v>
      </c>
      <c r="P21" s="31">
        <f t="shared" si="1"/>
        <v>0</v>
      </c>
      <c r="Q21" s="32">
        <f>S27/S29</f>
        <v>0.345209038384967</v>
      </c>
      <c r="R21" s="31"/>
      <c r="S21" s="33">
        <f t="shared" ref="S21:S26" si="23">R21</f>
        <v>0</v>
      </c>
      <c r="T21" s="42">
        <f>S21-N21</f>
        <v>0</v>
      </c>
      <c r="U21" s="32">
        <f>W27/W29</f>
        <v>0.265966367299874</v>
      </c>
      <c r="V21" s="31"/>
      <c r="W21" s="33">
        <f t="shared" ref="W21:W26" si="24">V21</f>
        <v>0</v>
      </c>
      <c r="X21" s="42">
        <f>W21-R21</f>
        <v>0</v>
      </c>
    </row>
    <row r="22" s="6" customFormat="1" ht="34.5" customHeight="1" spans="1:115">
      <c r="A22" s="35"/>
      <c r="B22" s="104" t="s">
        <v>35</v>
      </c>
      <c r="C22" s="105"/>
      <c r="D22" s="105"/>
      <c r="E22" s="33">
        <v>34478</v>
      </c>
      <c r="F22" s="105"/>
      <c r="G22" s="33">
        <v>56695</v>
      </c>
      <c r="H22" s="31">
        <f t="shared" si="3"/>
        <v>22217</v>
      </c>
      <c r="I22" s="106"/>
      <c r="J22" s="33">
        <v>56725</v>
      </c>
      <c r="K22" s="33">
        <f>J22</f>
        <v>56725</v>
      </c>
      <c r="L22" s="103">
        <f t="shared" si="20"/>
        <v>30</v>
      </c>
      <c r="M22" s="106"/>
      <c r="N22" s="31">
        <v>56725</v>
      </c>
      <c r="O22" s="33">
        <f t="shared" si="22"/>
        <v>56725</v>
      </c>
      <c r="P22" s="31">
        <f t="shared" si="1"/>
        <v>0</v>
      </c>
      <c r="Q22" s="106"/>
      <c r="R22" s="31">
        <v>6725</v>
      </c>
      <c r="S22" s="33">
        <f t="shared" si="23"/>
        <v>6725</v>
      </c>
      <c r="T22" s="34">
        <f>S22-O22</f>
        <v>-50000</v>
      </c>
      <c r="U22" s="106"/>
      <c r="V22" s="31">
        <v>11538</v>
      </c>
      <c r="W22" s="33">
        <f t="shared" si="24"/>
        <v>11538</v>
      </c>
      <c r="X22" s="34">
        <f t="shared" ref="X22:X26" si="25">W22-S22</f>
        <v>4813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</row>
    <row r="23" s="7" customFormat="1" ht="40" customHeight="1" spans="1:115">
      <c r="A23" s="35"/>
      <c r="B23" s="107" t="s">
        <v>36</v>
      </c>
      <c r="C23" s="105"/>
      <c r="D23" s="105"/>
      <c r="E23" s="33">
        <v>81846</v>
      </c>
      <c r="F23" s="105"/>
      <c r="G23" s="33">
        <v>23357</v>
      </c>
      <c r="H23" s="31">
        <f t="shared" si="3"/>
        <v>-58489</v>
      </c>
      <c r="I23" s="106"/>
      <c r="J23" s="33">
        <v>3479</v>
      </c>
      <c r="K23" s="33">
        <f>J23*7.1</f>
        <v>24700.9</v>
      </c>
      <c r="L23" s="103">
        <f t="shared" si="20"/>
        <v>1343.9</v>
      </c>
      <c r="M23" s="106"/>
      <c r="N23" s="31">
        <v>20215</v>
      </c>
      <c r="O23" s="33">
        <f>N23*7.1</f>
        <v>143526.5</v>
      </c>
      <c r="P23" s="31">
        <f t="shared" si="1"/>
        <v>118825.6</v>
      </c>
      <c r="Q23" s="106"/>
      <c r="R23" s="31">
        <v>25894</v>
      </c>
      <c r="S23" s="33">
        <f>R23*7.1</f>
        <v>183847.4</v>
      </c>
      <c r="T23" s="34">
        <f t="shared" ref="T23:T26" si="26">S23-O23</f>
        <v>40320.9</v>
      </c>
      <c r="U23" s="106"/>
      <c r="V23" s="31">
        <v>9211</v>
      </c>
      <c r="W23" s="33">
        <f>V23*7.1</f>
        <v>65398.1</v>
      </c>
      <c r="X23" s="34">
        <f t="shared" si="25"/>
        <v>-118449.3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</row>
    <row r="24" s="8" customFormat="1" ht="31.5" customHeight="1" spans="1:115">
      <c r="A24" s="35"/>
      <c r="B24" s="107" t="s">
        <v>37</v>
      </c>
      <c r="C24" s="105"/>
      <c r="D24" s="105"/>
      <c r="E24" s="33">
        <v>248795</v>
      </c>
      <c r="F24" s="105"/>
      <c r="G24" s="33">
        <v>246602</v>
      </c>
      <c r="H24" s="31">
        <f t="shared" si="3"/>
        <v>-2193</v>
      </c>
      <c r="I24" s="106"/>
      <c r="J24" s="33">
        <v>270813</v>
      </c>
      <c r="K24" s="33">
        <f>J24*0.91</f>
        <v>246439.83</v>
      </c>
      <c r="L24" s="103">
        <f t="shared" si="20"/>
        <v>-162.169999999984</v>
      </c>
      <c r="M24" s="106"/>
      <c r="N24" s="31">
        <v>175969</v>
      </c>
      <c r="O24" s="33">
        <f>N24*0.91</f>
        <v>160131.79</v>
      </c>
      <c r="P24" s="31">
        <f t="shared" si="1"/>
        <v>-86308.04</v>
      </c>
      <c r="Q24" s="106"/>
      <c r="R24" s="31">
        <v>176098</v>
      </c>
      <c r="S24" s="33">
        <f>R24*0.91</f>
        <v>160249.18</v>
      </c>
      <c r="T24" s="34">
        <f t="shared" si="26"/>
        <v>117.389999999985</v>
      </c>
      <c r="U24" s="106"/>
      <c r="V24" s="31">
        <v>176357</v>
      </c>
      <c r="W24" s="33">
        <f>V24*0.91</f>
        <v>160484.87</v>
      </c>
      <c r="X24" s="34">
        <f t="shared" si="25"/>
        <v>235.690000000002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</row>
    <row r="25" s="9" customFormat="1" ht="34.5" customHeight="1" spans="1:115">
      <c r="A25" s="35"/>
      <c r="B25" s="107" t="s">
        <v>38</v>
      </c>
      <c r="C25" s="105"/>
      <c r="D25" s="105"/>
      <c r="E25" s="33">
        <v>8000</v>
      </c>
      <c r="F25" s="105"/>
      <c r="G25" s="33">
        <v>8000</v>
      </c>
      <c r="H25" s="31">
        <f t="shared" si="3"/>
        <v>0</v>
      </c>
      <c r="I25" s="106"/>
      <c r="J25" s="33">
        <v>37539</v>
      </c>
      <c r="K25" s="33">
        <f>J25</f>
        <v>37539</v>
      </c>
      <c r="L25" s="103">
        <f t="shared" si="20"/>
        <v>29539</v>
      </c>
      <c r="M25" s="106"/>
      <c r="N25" s="31">
        <v>17558</v>
      </c>
      <c r="O25" s="33">
        <f t="shared" si="22"/>
        <v>17558</v>
      </c>
      <c r="P25" s="31">
        <f t="shared" si="1"/>
        <v>-19981</v>
      </c>
      <c r="Q25" s="106"/>
      <c r="R25" s="31">
        <v>14358</v>
      </c>
      <c r="S25" s="33">
        <f t="shared" ref="S25:S30" si="27">R25</f>
        <v>14358</v>
      </c>
      <c r="T25" s="34">
        <f t="shared" si="26"/>
        <v>-3200</v>
      </c>
      <c r="U25" s="106"/>
      <c r="V25" s="31">
        <v>7959</v>
      </c>
      <c r="W25" s="33">
        <f t="shared" si="24"/>
        <v>7959</v>
      </c>
      <c r="X25" s="34">
        <f t="shared" si="25"/>
        <v>-6399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</row>
    <row r="26" s="10" customFormat="1" ht="39" customHeight="1" spans="1:115">
      <c r="A26" s="35"/>
      <c r="B26" s="104" t="s">
        <v>39</v>
      </c>
      <c r="C26" s="108"/>
      <c r="D26" s="108"/>
      <c r="E26" s="33">
        <v>0</v>
      </c>
      <c r="F26" s="108"/>
      <c r="G26" s="33">
        <v>0</v>
      </c>
      <c r="H26" s="31">
        <f t="shared" si="3"/>
        <v>0</v>
      </c>
      <c r="I26" s="41"/>
      <c r="J26" s="33">
        <v>14831</v>
      </c>
      <c r="K26" s="33">
        <f>J26</f>
        <v>14831</v>
      </c>
      <c r="L26" s="103">
        <f t="shared" si="20"/>
        <v>14831</v>
      </c>
      <c r="M26" s="41"/>
      <c r="N26" s="31">
        <v>657</v>
      </c>
      <c r="O26" s="33">
        <f t="shared" si="22"/>
        <v>657</v>
      </c>
      <c r="P26" s="31">
        <f t="shared" si="1"/>
        <v>-14174</v>
      </c>
      <c r="Q26" s="41"/>
      <c r="R26" s="31">
        <v>654</v>
      </c>
      <c r="S26" s="33">
        <f t="shared" si="27"/>
        <v>654</v>
      </c>
      <c r="T26" s="34">
        <f t="shared" si="26"/>
        <v>-3</v>
      </c>
      <c r="U26" s="41"/>
      <c r="V26" s="31">
        <v>14688</v>
      </c>
      <c r="W26" s="33">
        <f t="shared" si="24"/>
        <v>14688</v>
      </c>
      <c r="X26" s="34">
        <f t="shared" si="25"/>
        <v>14034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</row>
    <row r="27" ht="15.6" spans="1:115">
      <c r="A27" s="38"/>
      <c r="B27" s="31"/>
      <c r="C27" s="109"/>
      <c r="D27" s="109"/>
      <c r="E27" s="110">
        <f>SUM(E21:E26)</f>
        <v>436427</v>
      </c>
      <c r="F27" s="111"/>
      <c r="G27" s="110">
        <f>SUM(G21:G26)</f>
        <v>385642</v>
      </c>
      <c r="H27" s="31">
        <f t="shared" si="3"/>
        <v>-50785</v>
      </c>
      <c r="I27" s="112"/>
      <c r="J27" s="33">
        <f t="shared" ref="J27:O27" si="28">SUM(J21:J26)</f>
        <v>383387</v>
      </c>
      <c r="K27" s="110">
        <f t="shared" si="28"/>
        <v>380235.73</v>
      </c>
      <c r="L27" s="103">
        <f t="shared" si="20"/>
        <v>-5406.27000000002</v>
      </c>
      <c r="M27" s="103"/>
      <c r="N27" s="31"/>
      <c r="O27" s="110">
        <f t="shared" si="28"/>
        <v>378598.29</v>
      </c>
      <c r="P27" s="31">
        <f t="shared" si="1"/>
        <v>-1637.43999999994</v>
      </c>
      <c r="Q27" s="103"/>
      <c r="R27" s="31"/>
      <c r="S27" s="110">
        <f t="shared" ref="S27:T27" si="29">SUM(S21:S26)</f>
        <v>365833.58</v>
      </c>
      <c r="T27" s="42">
        <f>S27-N27</f>
        <v>365833.58</v>
      </c>
      <c r="U27" s="103"/>
      <c r="V27" s="31"/>
      <c r="W27" s="110">
        <f>SUM(W21:W26)</f>
        <v>260067.97</v>
      </c>
      <c r="X27" s="42">
        <f>W27-R27</f>
        <v>260067.97</v>
      </c>
    </row>
    <row r="28" ht="15.6" spans="1:115">
      <c r="A28" s="18"/>
      <c r="B28" s="17"/>
      <c r="C28" s="113"/>
      <c r="D28" s="113"/>
      <c r="E28" s="114"/>
      <c r="F28" s="21"/>
      <c r="G28" s="24"/>
      <c r="H28" s="24"/>
      <c r="I28" s="48"/>
      <c r="J28" s="48"/>
      <c r="K28" s="24"/>
      <c r="L28" s="115"/>
      <c r="M28" s="115"/>
      <c r="N28" s="18"/>
      <c r="O28" s="24"/>
      <c r="P28" s="115"/>
      <c r="Q28" s="115"/>
      <c r="R28" s="18"/>
      <c r="S28" s="24"/>
      <c r="T28" s="78"/>
      <c r="U28" s="115"/>
      <c r="V28" s="18"/>
      <c r="W28" s="24"/>
      <c r="X28" s="78"/>
    </row>
    <row r="29" ht="18.5" customHeight="1" spans="1:115">
      <c r="A29" s="18" t="s">
        <v>40</v>
      </c>
      <c r="B29" s="17"/>
      <c r="C29" s="21">
        <v>1</v>
      </c>
      <c r="D29" s="21"/>
      <c r="E29" s="24">
        <f>E6+E11+E16+E20+E27+E15</f>
        <v>1073655.8</v>
      </c>
      <c r="F29" s="21"/>
      <c r="G29" s="24">
        <f>G6+G11+G16+G20+G27+G15</f>
        <v>1070879</v>
      </c>
      <c r="H29" s="24"/>
      <c r="I29" s="48"/>
      <c r="J29" s="48"/>
      <c r="K29" s="24">
        <f>K6+K11+K16+K20+K27+K15</f>
        <v>1076292.33</v>
      </c>
      <c r="L29" s="18"/>
      <c r="M29" s="18"/>
      <c r="N29" s="18"/>
      <c r="O29" s="24">
        <f>O6+O11+O16+O20+O27+O15</f>
        <v>1066499.89</v>
      </c>
      <c r="P29" s="18"/>
      <c r="Q29" s="18"/>
      <c r="R29" s="18"/>
      <c r="S29" s="24">
        <f>S6+S11+S16+S20+S27+S15</f>
        <v>1059745.08</v>
      </c>
      <c r="T29" s="25"/>
      <c r="U29" s="18"/>
      <c r="V29" s="18"/>
      <c r="W29" s="24">
        <f>W6+W11+W16+W20+W27+W15</f>
        <v>977822.77</v>
      </c>
      <c r="X29" s="25"/>
    </row>
    <row r="30" spans="1:115">
      <c r="A30" s="116" t="s">
        <v>41</v>
      </c>
      <c r="B30" s="117"/>
      <c r="C30" s="117"/>
      <c r="D30" s="117"/>
      <c r="E30" s="117"/>
      <c r="F30" s="117"/>
      <c r="G30" s="117">
        <f>G29-E29</f>
        <v>-2776.80000000005</v>
      </c>
      <c r="H30" s="117"/>
      <c r="I30" s="117"/>
      <c r="J30" s="117"/>
      <c r="K30" s="117">
        <f>K29-G29</f>
        <v>5413.33000000007</v>
      </c>
      <c r="L30" s="117"/>
      <c r="M30" s="117"/>
      <c r="N30" s="117"/>
      <c r="O30" s="117">
        <f>O29-K29</f>
        <v>-9792.43999999994</v>
      </c>
      <c r="P30" s="117"/>
      <c r="Q30" s="117"/>
      <c r="R30" s="117"/>
      <c r="S30" s="118">
        <f>S29-O29</f>
        <v>-6754.80999999982</v>
      </c>
      <c r="T30" s="119"/>
      <c r="U30" s="117"/>
      <c r="V30" s="117"/>
      <c r="W30" s="118">
        <f>W29-S29</f>
        <v>-81922.3100000001</v>
      </c>
      <c r="X30" s="119"/>
    </row>
    <row r="31" spans="1:115">
      <c r="A31" s="120" t="s">
        <v>42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>
        <f>K29-E29</f>
        <v>2636.53000000003</v>
      </c>
      <c r="L31" s="117"/>
      <c r="M31" s="117"/>
      <c r="N31" s="117"/>
      <c r="O31" s="117">
        <f>O29-G29</f>
        <v>-4379.10999999987</v>
      </c>
      <c r="P31" s="117"/>
      <c r="Q31" s="117"/>
      <c r="R31" s="117"/>
      <c r="S31" s="118">
        <f>S29-K29</f>
        <v>-16547.25</v>
      </c>
      <c r="T31" s="119"/>
      <c r="U31" s="117"/>
      <c r="V31" s="117"/>
      <c r="W31" s="118">
        <f>W29-O29</f>
        <v>-88677.1199999999</v>
      </c>
      <c r="X31" s="119"/>
    </row>
    <row r="32" ht="28.8" spans="1:115">
      <c r="A32" s="121" t="s">
        <v>43</v>
      </c>
      <c r="B32" s="121"/>
      <c r="V32" s="122" t="s">
        <v>44</v>
      </c>
    </row>
    <row r="33" ht="104" customHeight="1" spans="22:22">
      <c r="V33" s="122" t="s">
        <v>45</v>
      </c>
    </row>
  </sheetData>
  <mergeCells count="41">
    <mergeCell ref="A32:B32"/>
    <mergeCell ref="A3:A5"/>
    <mergeCell ref="A7:A10"/>
    <mergeCell ref="A12:A14"/>
    <mergeCell ref="A18:A19"/>
    <mergeCell ref="A21:A27"/>
    <mergeCell ref="C3:C5"/>
    <mergeCell ref="C7:C10"/>
    <mergeCell ref="C12:C14"/>
    <mergeCell ref="C18:C19"/>
    <mergeCell ref="C21:C26"/>
    <mergeCell ref="D3:D5"/>
    <mergeCell ref="D7:D10"/>
    <mergeCell ref="D12:D14"/>
    <mergeCell ref="D18:D19"/>
    <mergeCell ref="D21:D26"/>
    <mergeCell ref="F3:F5"/>
    <mergeCell ref="F7:F10"/>
    <mergeCell ref="F12:F14"/>
    <mergeCell ref="F18:F19"/>
    <mergeCell ref="F21:F26"/>
    <mergeCell ref="I3:I5"/>
    <mergeCell ref="I7:I10"/>
    <mergeCell ref="I12:I14"/>
    <mergeCell ref="I18:I19"/>
    <mergeCell ref="I21:I26"/>
    <mergeCell ref="M3:M5"/>
    <mergeCell ref="M7:M10"/>
    <mergeCell ref="M12:M14"/>
    <mergeCell ref="M18:M19"/>
    <mergeCell ref="M21:M26"/>
    <mergeCell ref="Q3:Q5"/>
    <mergeCell ref="Q7:Q10"/>
    <mergeCell ref="Q12:Q14"/>
    <mergeCell ref="Q18:Q19"/>
    <mergeCell ref="Q21:Q26"/>
    <mergeCell ref="U3:U5"/>
    <mergeCell ref="U7:U10"/>
    <mergeCell ref="U12:U14"/>
    <mergeCell ref="U18:U19"/>
    <mergeCell ref="U21:U26"/>
  </mergeCells>
  <pageMargins left="0.7" right="0.7" top="0.75" bottom="0.75" header="0.3" footer="0.3"/>
  <pageSetup paperSize="9" orientation="portrait"/>
  <headerFooter/>
  <ignoredErrors>
    <ignoredError sqref="P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</cp:lastModifiedBy>
  <dcterms:created xsi:type="dcterms:W3CDTF">2015-06-05T18:19:00Z</dcterms:created>
  <dcterms:modified xsi:type="dcterms:W3CDTF">2026-01-07T12:18:00Z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C3D54FAED3244353807BE7F87BB2E58C_12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